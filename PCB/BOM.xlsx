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Computer Development\Hardware\3Axis_Gimbal\"/>
    </mc:Choice>
  </mc:AlternateContent>
  <xr:revisionPtr revIDLastSave="0" documentId="13_ncr:1_{F280ECE5-8ED7-429B-B8B8-E53728AA4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3" i="1"/>
  <c r="F19" i="1"/>
  <c r="F20" i="1"/>
  <c r="F15" i="1"/>
  <c r="F16" i="1"/>
  <c r="F17" i="1"/>
  <c r="F18" i="1"/>
  <c r="F6" i="1"/>
  <c r="F7" i="1"/>
  <c r="F8" i="1"/>
  <c r="F9" i="1"/>
  <c r="F10" i="1"/>
  <c r="F11" i="1"/>
  <c r="F12" i="1"/>
  <c r="F13" i="1"/>
  <c r="F14" i="1"/>
  <c r="F5" i="1"/>
  <c r="F4" i="1"/>
  <c r="F3" i="1"/>
  <c r="F2" i="1"/>
</calcChain>
</file>

<file path=xl/sharedStrings.xml><?xml version="1.0" encoding="utf-8"?>
<sst xmlns="http://schemas.openxmlformats.org/spreadsheetml/2006/main" count="64" uniqueCount="64">
  <si>
    <t>Name</t>
  </si>
  <si>
    <t>Description</t>
  </si>
  <si>
    <t>Link</t>
  </si>
  <si>
    <t>Unit Price</t>
  </si>
  <si>
    <t>Quantity</t>
  </si>
  <si>
    <t>Total</t>
  </si>
  <si>
    <t>Motors</t>
  </si>
  <si>
    <t>Rctimer GBM5010-150T 90KV Gimbal Brushless Motor 5010</t>
  </si>
  <si>
    <t>https://ar.aliexpress.com/item/1005002552552208.html?spm=a2g0o.productlist.main.2.1a6a5c05o6EGkF&amp;algo_pvid=e8ed187c-f5bc-4ebd-b06a-8f780a080699&amp;algo_exp_id=e8ed187c-f5bc-4ebd-b06a-8f780a080699-1&amp;pdp_ext_f=%7B%22order%22%3A%2211%22%2C%22eval%22%3A%221%22%2C%22fromPage%22%3A%22search%22%7D&amp;pdp_npi=6%40dis%21USD%2124.99%2117.49%21%21%2124.99%2117.49%21%40210123bc17687442852712793e2e93%2112000021109228487%21sea%21EG%210%21ABX%211%210%21n_tag%3A-29910%3Bd%3Af5c7d390%3Bm03_new_user%3A-29895&amp;curPageLogUid=78YJsnV9XrQS&amp;utparam-url=scene%3Asearch%7Cquery_from%3A%7Cx_object_id%3A1005002552552208%7C_p_origin_prod%3A</t>
  </si>
  <si>
    <t>Battery</t>
  </si>
  <si>
    <t>https://ar.aliexpress.com/item/1005001565460048.html?spm=a2g0o.productlist.main.1.70dcMkzHMkzHvl&amp;algo_pvid=fcb44e2c-c011-4465-9f8f-72cd2cbcc893&amp;algo_exp_id=fcb44e2c-c011-4465-9f8f-72cd2cbcc893-0&amp;pdp_ext_f=%7B%22order%22%3A%2214%22%2C%22eval%22%3A%221%22%2C%22fromPage%22%3A%22search%22%7D&amp;pdp_npi=6%40dis%21USD%2160.73%2140.69%21%21%2160.73%2140.69%21%40212a6e2917687464814174831e3b90%2112000023738205630%21sea%21EG%210%21ABX%211%210%21n_tag%3A-29910%3Bd%3Af5c7d390%3Bm03_new_user%3A-29895&amp;curPageLogUid=I0zJC1hyaeP7&amp;utparam-url=scene%3Asearch%7Cquery_from%3A%7Cx_object_id%3A1005001565460048%7C_p_origin_prod%3A</t>
  </si>
  <si>
    <t>4S LiPo battery 14.8V  12000mAh 25C</t>
  </si>
  <si>
    <t>Slip Ring</t>
  </si>
  <si>
    <t>https://ar.aliexpress.com/item/1005008132607911.html?spm=a2g0o.productlist.main.1.6c3b8mu58mu5wo&amp;algo_pvid=8682c8f3-2f9b-4510-aff0-606885e83779&amp;algo_exp_id=8682c8f3-2f9b-4510-aff0-606885e83779-0&amp;pdp_ext_f=%7B%22order%22%3A%22182%22%2C%22eval%22%3A%221%22%2C%22fromPage%22%3A%22search%22%7D&amp;pdp_npi=6%40dis%21USD%2121.81%214.20%21%21%21151.04%2129.06%21%402101364d17687468970312162e7837%2112000044142660694%21sea%21EG%210%21ABX%211%210%21n_tag%3A-29910%3Bd%3Af5c7d390%3Bm03_new_user%3A-29895%3BpisId%3A5000000197840385&amp;curPageLogUid=WKGMTuvrKkpL&amp;utparam-url=scene%3Asearch%7Cquery_from%3A%7Cx_object_id%3A1005008132607911%7C_p_origin_prod%3A</t>
  </si>
  <si>
    <t>12.7x35mm 12CH 5A</t>
  </si>
  <si>
    <t>Pin Headers</t>
  </si>
  <si>
    <t>1.27mm1*10P Straight Pin header</t>
  </si>
  <si>
    <t>https://jlcpcb.com/partdetail/29704-1_27mm1_10P_Straight_Pinheader/C28952</t>
  </si>
  <si>
    <t>LED</t>
  </si>
  <si>
    <t>Small Led for indication</t>
  </si>
  <si>
    <t>https://jlcpcb.com/partdetail/Hubei_KENTOElec-KT0603R/C2286</t>
  </si>
  <si>
    <t>Resistor   1KΩ</t>
  </si>
  <si>
    <t>1k ohm resistor</t>
  </si>
  <si>
    <t>https://jlcpcb.com/partdetail/PANASONIC-EXBV4V102JV/C713466</t>
  </si>
  <si>
    <t>Resistor   45.3KΩ</t>
  </si>
  <si>
    <t>45.3KΩ ohm resistor</t>
  </si>
  <si>
    <t>https://jlcpcb.com/partdetail/RALEC-RTT014532FTH/C166189</t>
  </si>
  <si>
    <t>Resistor 100KΩ</t>
  </si>
  <si>
    <t>100k ohms resistor</t>
  </si>
  <si>
    <t>https://jlcpcb.com/partdetail/YAGEO-RC0603FR07100KL/C14675</t>
  </si>
  <si>
    <t>Resistor 10KΩ</t>
  </si>
  <si>
    <t>10k ohms resistor</t>
  </si>
  <si>
    <t>https://jlcpcb.com/partdetail/16079-0603WAJ0103T5E/C15401</t>
  </si>
  <si>
    <t>Resistor 2.2KΩ</t>
  </si>
  <si>
    <t xml:space="preserve"> 2.2K ohms resistor</t>
  </si>
  <si>
    <t>https://jlcpcb.com/partdetail/4597-0603WAF2201T5E/C4190</t>
  </si>
  <si>
    <t>Capacitor 100μF</t>
  </si>
  <si>
    <t>Capacitor 10μF</t>
  </si>
  <si>
    <t>Capacitor 0.1μF</t>
  </si>
  <si>
    <t>100 micro farads capacitor</t>
  </si>
  <si>
    <t>10 micro farads capacitor</t>
  </si>
  <si>
    <t>0.1 micro farads capacitor</t>
  </si>
  <si>
    <t>https://jlcpcb.com/partdetail/3153-KM107M063F12RR0VH2FP0/C2772</t>
  </si>
  <si>
    <t>https://jlcpcb.com/partdetail/20411-CL10A106KP8NNNC/C19702</t>
  </si>
  <si>
    <t>https://jlcpcb.com/partdetail/YAGEO-CC0603KRX7R9BB104/C14663</t>
  </si>
  <si>
    <t>Toggle Button</t>
  </si>
  <si>
    <t>Button</t>
  </si>
  <si>
    <t>Motor Drivers</t>
  </si>
  <si>
    <t>DRV8313PWP</t>
  </si>
  <si>
    <t>https://jlcpcb.com/partdetail/hanxia-HX_TS4540CJ_160gf022/C7463293</t>
  </si>
  <si>
    <t>https://jlcpcb.com/partdetail/TexasInstruments-DRV8313PWPR/C92482</t>
  </si>
  <si>
    <t>STM32 Microcontroller</t>
  </si>
  <si>
    <t>128Kb memory flash MCU</t>
  </si>
  <si>
    <t>Inductor 10μH</t>
  </si>
  <si>
    <t>10μH inductor</t>
  </si>
  <si>
    <t>Power converter</t>
  </si>
  <si>
    <t>TPS54302</t>
  </si>
  <si>
    <t>Inertial Units</t>
  </si>
  <si>
    <t>ICM-20602</t>
  </si>
  <si>
    <t>https://jlcpcb.com/partdetail/STMicroelectronics-STM32G431CBT6/C529355</t>
  </si>
  <si>
    <t>https://jlcpcb.com/partdetail/Sunlord-SDFL1608S100KTF/C1035</t>
  </si>
  <si>
    <t>https://jlcpcb.com/partdetail/TexasInstruments-TPS54302DDCR/C311983</t>
  </si>
  <si>
    <t>https://jlcpcb.com/partdetail/TDKInvenSense-ICM20602/C97633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</si>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</sst>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22222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880740</xdr:colOff>
      <xdr:row>1</xdr:row>
      <xdr:rowOff>68760</xdr:rowOff>
    </xdr:from>
    <xdr:to>
      <xdr:col>1</xdr:col>
      <xdr:colOff>931500</xdr:colOff>
      <xdr:row>1</xdr:row>
      <xdr:rowOff>134640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533C61D-4E17-524A-9AAF-1332AB495378}"/>
                </a:ext>
              </a:extLst>
            </xdr14:cNvPr>
            <xdr14:cNvContentPartPr/>
          </xdr14:nvContentPartPr>
          <xdr14:nvPr macro=""/>
          <xdr14:xfrm>
            <a:off x="2000880" y="251640"/>
            <a:ext cx="50760" cy="658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533C61D-4E17-524A-9AAF-1332AB4953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94760" y="245553"/>
              <a:ext cx="63000" cy="7805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19T12:04:59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43 0 0 0,'0'0'0'0'0,"-23"-16"0"0"0,4 2 0 0 0,-2 1 0 0 0,-4 24 0 0 0,30 19 0 0 0</inkml:trace>
  <inkml:trace contextRef="#ctx0" brushRef="#br0" timeOffset="1667.59">69 183 0 0 0,'-20'-29'0'0'0,"-3"8"0"0"0,-3 5 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20" sqref="G20"/>
    </sheetView>
  </sheetViews>
  <sheetFormatPr defaultRowHeight="14.4" x14ac:dyDescent="0.3"/>
  <cols>
    <col min="1" max="1" width="16.33203125" customWidth="1"/>
    <col min="2" max="2" width="20.44140625" customWidth="1"/>
    <col min="3" max="3" width="11.88671875" customWidth="1"/>
    <col min="4" max="4" width="12.21875" customWidth="1"/>
    <col min="5" max="5" width="13.33203125" customWidth="1"/>
    <col min="7" max="7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63</v>
      </c>
    </row>
    <row r="2" spans="1:7" x14ac:dyDescent="0.3">
      <c r="A2" t="s">
        <v>6</v>
      </c>
      <c r="B2" t="s">
        <v>7</v>
      </c>
      <c r="C2" t="s">
        <v>8</v>
      </c>
      <c r="D2">
        <v>24.99</v>
      </c>
      <c r="E2">
        <v>3</v>
      </c>
      <c r="F2">
        <f>PRODUCT(D2:E2)</f>
        <v>74.97</v>
      </c>
      <c r="G2">
        <v>74.97</v>
      </c>
    </row>
    <row r="3" spans="1:7" x14ac:dyDescent="0.3">
      <c r="A3" t="s">
        <v>9</v>
      </c>
      <c r="B3" s="1" t="s">
        <v>11</v>
      </c>
      <c r="C3" t="s">
        <v>10</v>
      </c>
      <c r="D3">
        <v>153.12</v>
      </c>
      <c r="E3">
        <v>1</v>
      </c>
      <c r="F3">
        <f>PRODUCT(D3:E3)</f>
        <v>153.12</v>
      </c>
      <c r="G3">
        <f>SUM(F3+G2)</f>
        <v>228.09</v>
      </c>
    </row>
    <row r="4" spans="1:7" x14ac:dyDescent="0.3">
      <c r="A4" t="s">
        <v>12</v>
      </c>
      <c r="B4" t="s">
        <v>14</v>
      </c>
      <c r="C4" t="s">
        <v>13</v>
      </c>
      <c r="D4">
        <v>138.25</v>
      </c>
      <c r="E4">
        <v>1</v>
      </c>
      <c r="F4">
        <f>PRODUCT(D4:E4)</f>
        <v>138.25</v>
      </c>
      <c r="G4">
        <f t="shared" ref="G4:G20" si="0">SUM(F4+G3)</f>
        <v>366.34000000000003</v>
      </c>
    </row>
    <row r="5" spans="1:7" ht="15" x14ac:dyDescent="0.35">
      <c r="A5" t="s">
        <v>15</v>
      </c>
      <c r="B5" s="2" t="s">
        <v>16</v>
      </c>
      <c r="C5" t="s">
        <v>17</v>
      </c>
      <c r="D5">
        <v>0.05</v>
      </c>
      <c r="E5">
        <v>2</v>
      </c>
      <c r="F5">
        <f>PRODUCT(D5:E5)</f>
        <v>0.1</v>
      </c>
      <c r="G5">
        <f t="shared" si="0"/>
        <v>366.44000000000005</v>
      </c>
    </row>
    <row r="6" spans="1:7" x14ac:dyDescent="0.3">
      <c r="A6" t="s">
        <v>18</v>
      </c>
      <c r="B6" t="s">
        <v>19</v>
      </c>
      <c r="C6" t="s">
        <v>20</v>
      </c>
      <c r="D6">
        <v>0.01</v>
      </c>
      <c r="E6">
        <v>1</v>
      </c>
      <c r="F6">
        <f t="shared" ref="F6:F18" si="1">PRODUCT(D6:E6)</f>
        <v>0.01</v>
      </c>
      <c r="G6">
        <f t="shared" si="0"/>
        <v>366.45000000000005</v>
      </c>
    </row>
    <row r="7" spans="1:7" x14ac:dyDescent="0.3">
      <c r="A7" t="s">
        <v>21</v>
      </c>
      <c r="B7" t="s">
        <v>22</v>
      </c>
      <c r="C7" t="s">
        <v>23</v>
      </c>
      <c r="D7">
        <v>0.04</v>
      </c>
      <c r="E7">
        <v>3</v>
      </c>
      <c r="F7">
        <f t="shared" si="1"/>
        <v>0.12</v>
      </c>
      <c r="G7">
        <f t="shared" si="0"/>
        <v>366.57000000000005</v>
      </c>
    </row>
    <row r="8" spans="1:7" x14ac:dyDescent="0.3">
      <c r="A8" t="s">
        <v>24</v>
      </c>
      <c r="B8" t="s">
        <v>25</v>
      </c>
      <c r="C8" t="s">
        <v>26</v>
      </c>
      <c r="D8">
        <v>0.01</v>
      </c>
      <c r="E8">
        <v>1</v>
      </c>
      <c r="F8">
        <f t="shared" si="1"/>
        <v>0.01</v>
      </c>
      <c r="G8">
        <f t="shared" si="0"/>
        <v>366.58000000000004</v>
      </c>
    </row>
    <row r="9" spans="1:7" x14ac:dyDescent="0.3">
      <c r="A9" t="s">
        <v>27</v>
      </c>
      <c r="B9" t="s">
        <v>28</v>
      </c>
      <c r="C9" t="s">
        <v>29</v>
      </c>
      <c r="D9">
        <v>0.01</v>
      </c>
      <c r="E9">
        <v>1</v>
      </c>
      <c r="F9">
        <f t="shared" si="1"/>
        <v>0.01</v>
      </c>
      <c r="G9">
        <f t="shared" si="0"/>
        <v>366.59000000000003</v>
      </c>
    </row>
    <row r="10" spans="1:7" x14ac:dyDescent="0.3">
      <c r="A10" t="s">
        <v>30</v>
      </c>
      <c r="B10" t="s">
        <v>31</v>
      </c>
      <c r="C10" t="s">
        <v>32</v>
      </c>
      <c r="D10">
        <v>0.01</v>
      </c>
      <c r="E10">
        <v>2</v>
      </c>
      <c r="F10">
        <f t="shared" si="1"/>
        <v>0.02</v>
      </c>
      <c r="G10">
        <f t="shared" si="0"/>
        <v>366.61</v>
      </c>
    </row>
    <row r="11" spans="1:7" x14ac:dyDescent="0.3">
      <c r="A11" t="s">
        <v>33</v>
      </c>
      <c r="B11" t="s">
        <v>34</v>
      </c>
      <c r="C11" t="s">
        <v>35</v>
      </c>
      <c r="D11">
        <v>0.01</v>
      </c>
      <c r="E11">
        <v>2</v>
      </c>
      <c r="F11">
        <f t="shared" si="1"/>
        <v>0.02</v>
      </c>
      <c r="G11">
        <f t="shared" si="0"/>
        <v>366.63</v>
      </c>
    </row>
    <row r="12" spans="1:7" x14ac:dyDescent="0.3">
      <c r="A12" t="s">
        <v>36</v>
      </c>
      <c r="B12" t="s">
        <v>39</v>
      </c>
      <c r="C12" t="s">
        <v>42</v>
      </c>
      <c r="D12">
        <v>0.05</v>
      </c>
      <c r="E12">
        <v>3</v>
      </c>
      <c r="F12">
        <f t="shared" si="1"/>
        <v>0.15000000000000002</v>
      </c>
      <c r="G12">
        <f t="shared" si="0"/>
        <v>366.78</v>
      </c>
    </row>
    <row r="13" spans="1:7" x14ac:dyDescent="0.3">
      <c r="A13" t="s">
        <v>37</v>
      </c>
      <c r="B13" t="s">
        <v>40</v>
      </c>
      <c r="C13" t="s">
        <v>43</v>
      </c>
      <c r="D13">
        <v>0.01</v>
      </c>
      <c r="E13">
        <v>3</v>
      </c>
      <c r="F13">
        <f t="shared" si="1"/>
        <v>0.03</v>
      </c>
      <c r="G13">
        <f t="shared" si="0"/>
        <v>366.80999999999995</v>
      </c>
    </row>
    <row r="14" spans="1:7" x14ac:dyDescent="0.3">
      <c r="A14" t="s">
        <v>38</v>
      </c>
      <c r="B14" t="s">
        <v>41</v>
      </c>
      <c r="C14" t="s">
        <v>44</v>
      </c>
      <c r="D14">
        <v>0.01</v>
      </c>
      <c r="E14">
        <v>3</v>
      </c>
      <c r="F14">
        <f t="shared" si="1"/>
        <v>0.03</v>
      </c>
      <c r="G14">
        <f t="shared" si="0"/>
        <v>366.83999999999992</v>
      </c>
    </row>
    <row r="15" spans="1:7" x14ac:dyDescent="0.3">
      <c r="A15" t="s">
        <v>45</v>
      </c>
      <c r="B15" t="s">
        <v>46</v>
      </c>
      <c r="C15" t="s">
        <v>49</v>
      </c>
      <c r="D15">
        <v>0.02</v>
      </c>
      <c r="E15">
        <v>1</v>
      </c>
      <c r="F15">
        <f t="shared" si="1"/>
        <v>0.02</v>
      </c>
      <c r="G15">
        <f t="shared" si="0"/>
        <v>366.8599999999999</v>
      </c>
    </row>
    <row r="16" spans="1:7" x14ac:dyDescent="0.3">
      <c r="A16" t="s">
        <v>47</v>
      </c>
      <c r="B16" t="s">
        <v>48</v>
      </c>
      <c r="C16" t="s">
        <v>50</v>
      </c>
      <c r="D16">
        <v>1.72</v>
      </c>
      <c r="E16">
        <v>3</v>
      </c>
      <c r="F16">
        <f t="shared" si="1"/>
        <v>5.16</v>
      </c>
      <c r="G16">
        <f t="shared" si="0"/>
        <v>372.01999999999992</v>
      </c>
    </row>
    <row r="17" spans="1:7" x14ac:dyDescent="0.3">
      <c r="A17" t="s">
        <v>51</v>
      </c>
      <c r="B17" t="s">
        <v>52</v>
      </c>
      <c r="C17" t="s">
        <v>59</v>
      </c>
      <c r="D17">
        <v>3.13</v>
      </c>
      <c r="E17">
        <v>1</v>
      </c>
      <c r="F17">
        <f t="shared" si="1"/>
        <v>3.13</v>
      </c>
      <c r="G17">
        <f t="shared" si="0"/>
        <v>375.14999999999992</v>
      </c>
    </row>
    <row r="18" spans="1:7" x14ac:dyDescent="0.3">
      <c r="A18" t="s">
        <v>53</v>
      </c>
      <c r="B18" t="s">
        <v>54</v>
      </c>
      <c r="C18" t="s">
        <v>60</v>
      </c>
      <c r="D18">
        <v>0.01</v>
      </c>
      <c r="E18">
        <v>1</v>
      </c>
      <c r="F18">
        <f>PRODUCT(D18:E18)</f>
        <v>0.01</v>
      </c>
      <c r="G18">
        <f t="shared" si="0"/>
        <v>375.15999999999991</v>
      </c>
    </row>
    <row r="19" spans="1:7" x14ac:dyDescent="0.3">
      <c r="A19" t="s">
        <v>55</v>
      </c>
      <c r="B19" t="s">
        <v>56</v>
      </c>
      <c r="C19" t="s">
        <v>61</v>
      </c>
      <c r="D19">
        <v>0.15</v>
      </c>
      <c r="E19">
        <v>1</v>
      </c>
      <c r="F19">
        <f t="shared" ref="F19:F21" si="2">PRODUCT(D19:E19)</f>
        <v>0.15</v>
      </c>
      <c r="G19">
        <f t="shared" si="0"/>
        <v>375.30999999999989</v>
      </c>
    </row>
    <row r="20" spans="1:7" x14ac:dyDescent="0.3">
      <c r="A20" t="s">
        <v>57</v>
      </c>
      <c r="B20" t="s">
        <v>58</v>
      </c>
      <c r="C20" t="s">
        <v>62</v>
      </c>
      <c r="D20">
        <v>5.08</v>
      </c>
      <c r="E20">
        <v>2</v>
      </c>
      <c r="F20">
        <f t="shared" si="2"/>
        <v>10.16</v>
      </c>
      <c r="G20">
        <f t="shared" si="0"/>
        <v>385.46999999999991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Samir Abed El Nafee Mohamed</cp:lastModifiedBy>
  <dcterms:created xsi:type="dcterms:W3CDTF">2015-06-05T18:17:20Z</dcterms:created>
  <dcterms:modified xsi:type="dcterms:W3CDTF">2026-01-20T14:15:51Z</dcterms:modified>
</cp:coreProperties>
</file>