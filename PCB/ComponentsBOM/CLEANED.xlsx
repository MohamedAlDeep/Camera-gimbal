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Computer Development\Hardware\3Axis_Gimbal\PCB\ComponentsBOM\"/>
    </mc:Choice>
  </mc:AlternateContent>
  <xr:revisionPtr revIDLastSave="0" documentId="13_ncr:1_{CA55F6AD-110F-41F3-BA84-CCF1E901E28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H5" i="1"/>
  <c r="H3" i="1"/>
  <c r="H4" i="1"/>
  <c r="H2" i="1"/>
  <c r="H20" i="1" l="1"/>
</calcChain>
</file>

<file path=xl/sharedStrings.xml><?xml version="1.0" encoding="utf-8"?>
<sst xmlns="http://schemas.openxmlformats.org/spreadsheetml/2006/main" count="73" uniqueCount="73">
  <si>
    <t>LED</t>
  </si>
  <si>
    <t>DRV8313PWP</t>
  </si>
  <si>
    <t>TPS54302</t>
  </si>
  <si>
    <t>ICM-20602</t>
  </si>
  <si>
    <t>Id</t>
  </si>
  <si>
    <t>Quantity</t>
  </si>
  <si>
    <t>C166189</t>
  </si>
  <si>
    <t>Link</t>
  </si>
  <si>
    <t>https://jlcpcb.com/partdetail/RALEC-RTT014532FTH/C166189</t>
  </si>
  <si>
    <t>C2286</t>
  </si>
  <si>
    <t>https://jlcpcb.com/partdetail/Hubei_KENTOElec-KT0603R/C2286</t>
  </si>
  <si>
    <t>C28952</t>
  </si>
  <si>
    <t>C713466</t>
  </si>
  <si>
    <t>https://jlcpcb.com/partdetail/PANASONIC-EXBV4V102JV/C713466</t>
  </si>
  <si>
    <t>C7463293</t>
  </si>
  <si>
    <t>https://jlcpcb.com/partdetail/hanxia-HX_TS4540CJ_160gf022/C7463293</t>
  </si>
  <si>
    <t>C92482</t>
  </si>
  <si>
    <t>https://jlcpcb.com/partdetail/TexasInstruments-DRV8313PWPR/C92482</t>
  </si>
  <si>
    <t>C14675</t>
  </si>
  <si>
    <t>https://jlcpcb.com/partdetail/YAGEO-RC0603FR07100KL/C14675</t>
  </si>
  <si>
    <t>C15401</t>
  </si>
  <si>
    <t>https://jlcpcb.com/partdetail/16079-0603WAJ0103T5E/C15401</t>
  </si>
  <si>
    <t>C4190</t>
  </si>
  <si>
    <t>https://jlcpcb.com/partdetail/4597-0603WAF2201T5E/C4190</t>
  </si>
  <si>
    <t>C97633</t>
  </si>
  <si>
    <t>https://jlcpcb.com/partdetail/TDKInvenSense-ICM20602/C97633</t>
  </si>
  <si>
    <t>C311983</t>
  </si>
  <si>
    <t>https://jlcpcb.com/partdetail/TexasInstruments-TPS54302DDCR/C311983</t>
  </si>
  <si>
    <t>C529355</t>
  </si>
  <si>
    <t>https://jlcpcb.com/partdetail/STMicroelectronics-STM32G431CBT6/C529355</t>
  </si>
  <si>
    <t>C2772</t>
  </si>
  <si>
    <t>https://jlcpcb.com/partdetail/3153-KM107M063F12RR0VH2FP0/C2772</t>
  </si>
  <si>
    <t>C19702</t>
  </si>
  <si>
    <t>https://jlcpcb.com/partdetail/20411-CL10A106KP8NNNC/C19702</t>
  </si>
  <si>
    <t>C14663</t>
  </si>
  <si>
    <t>https://jlcpcb.com/partdetail/YAGEO-CC0603KRX7R9BB104/C14663</t>
  </si>
  <si>
    <t>C1035</t>
  </si>
  <si>
    <t>https://jlcpcb.com/partdetail/Sunlord-SDFL1608S100KTF/C1035</t>
  </si>
  <si>
    <t>https://jlcpcb.com/partdetail/29704-1_27mm1_10P_Straight_Pinheader/C28952</t>
  </si>
  <si>
    <t>Name</t>
  </si>
  <si>
    <t>Description</t>
  </si>
  <si>
    <t>Total Price</t>
  </si>
  <si>
    <t>Supplier Code</t>
  </si>
  <si>
    <t>1.27mm1*10P Straight Pin header</t>
  </si>
  <si>
    <t>Pin Headers</t>
  </si>
  <si>
    <t>Small Led for indication</t>
  </si>
  <si>
    <t>Resistor   1KΩ</t>
  </si>
  <si>
    <t>1k ohm resistor</t>
  </si>
  <si>
    <t>Resistor   45.3KΩ</t>
  </si>
  <si>
    <t>45.3KΩ ohm resistor</t>
  </si>
  <si>
    <t>Toggle Button</t>
  </si>
  <si>
    <t>Button</t>
  </si>
  <si>
    <t>Unit Price (USD)</t>
  </si>
  <si>
    <t>Motor Drivers</t>
  </si>
  <si>
    <t>Resistor 100KΩ</t>
  </si>
  <si>
    <t>Resistor 10KΩ</t>
  </si>
  <si>
    <t>100k ohms resistor</t>
  </si>
  <si>
    <t>10k ohms resistor</t>
  </si>
  <si>
    <t>Capacitor 100μF</t>
  </si>
  <si>
    <t>100 micro farads capacitor</t>
  </si>
  <si>
    <t>Capacitor 10μF</t>
  </si>
  <si>
    <t>10 micro farads capacitor</t>
  </si>
  <si>
    <t>Capacitor 0.1μF</t>
  </si>
  <si>
    <t>0.1 micro farads capacitor</t>
  </si>
  <si>
    <t>STM32 Microcontroller</t>
  </si>
  <si>
    <t>128Kb memory flash MCU</t>
  </si>
  <si>
    <t>Inductor 10μH</t>
  </si>
  <si>
    <t>10μH inductor</t>
  </si>
  <si>
    <t>Power converter</t>
  </si>
  <si>
    <t>Inertial Units</t>
  </si>
  <si>
    <t>Resistor 2.2KΩ</t>
  </si>
  <si>
    <t xml:space="preserve"> 2.2K ohms resistor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</si>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</sst>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22222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F1" zoomScaleNormal="100" workbookViewId="0">
      <selection activeCell="J11" sqref="J11"/>
    </sheetView>
  </sheetViews>
  <sheetFormatPr defaultRowHeight="14.4" x14ac:dyDescent="0.3"/>
  <cols>
    <col min="1" max="1" width="4.77734375" customWidth="1"/>
    <col min="2" max="2" width="23.21875" customWidth="1"/>
    <col min="3" max="3" width="22.88671875" customWidth="1"/>
    <col min="4" max="4" width="14.44140625" customWidth="1"/>
    <col min="5" max="5" width="28.44140625" customWidth="1"/>
    <col min="6" max="6" width="13.88671875" customWidth="1"/>
  </cols>
  <sheetData>
    <row r="1" spans="1:8" x14ac:dyDescent="0.3">
      <c r="A1" s="2" t="s">
        <v>4</v>
      </c>
      <c r="B1" s="2" t="s">
        <v>39</v>
      </c>
      <c r="C1" s="2" t="s">
        <v>40</v>
      </c>
      <c r="D1" s="2" t="s">
        <v>5</v>
      </c>
      <c r="E1" s="2" t="s">
        <v>52</v>
      </c>
      <c r="F1" s="2" t="s">
        <v>42</v>
      </c>
      <c r="G1" s="2" t="s">
        <v>7</v>
      </c>
      <c r="H1" s="2" t="s">
        <v>41</v>
      </c>
    </row>
    <row r="2" spans="1:8" ht="15" x14ac:dyDescent="0.35">
      <c r="A2" s="3">
        <v>1</v>
      </c>
      <c r="B2" s="3" t="s">
        <v>44</v>
      </c>
      <c r="C2" s="4" t="s">
        <v>43</v>
      </c>
      <c r="D2" s="3">
        <v>2</v>
      </c>
      <c r="E2" s="3">
        <v>0.05</v>
      </c>
      <c r="F2" s="4" t="s">
        <v>11</v>
      </c>
      <c r="G2" s="3" t="s">
        <v>38</v>
      </c>
      <c r="H2" s="3">
        <f>PRODUCT(D2:E2)</f>
        <v>0.1</v>
      </c>
    </row>
    <row r="3" spans="1:8" ht="15" x14ac:dyDescent="0.35">
      <c r="A3" s="3">
        <v>2</v>
      </c>
      <c r="B3" s="3" t="s">
        <v>0</v>
      </c>
      <c r="C3" s="3" t="s">
        <v>45</v>
      </c>
      <c r="D3" s="3">
        <v>1</v>
      </c>
      <c r="E3" s="3">
        <v>0.01</v>
      </c>
      <c r="F3" s="4" t="s">
        <v>9</v>
      </c>
      <c r="G3" s="3" t="s">
        <v>10</v>
      </c>
      <c r="H3" s="3">
        <f t="shared" ref="H3:H17" si="0">PRODUCT(D3:E3)</f>
        <v>0.01</v>
      </c>
    </row>
    <row r="4" spans="1:8" ht="15" x14ac:dyDescent="0.35">
      <c r="A4" s="3">
        <v>3</v>
      </c>
      <c r="B4" s="3" t="s">
        <v>46</v>
      </c>
      <c r="C4" s="3" t="s">
        <v>47</v>
      </c>
      <c r="D4" s="3">
        <v>3</v>
      </c>
      <c r="E4" s="3">
        <v>0.04</v>
      </c>
      <c r="F4" s="4" t="s">
        <v>12</v>
      </c>
      <c r="G4" s="3" t="s">
        <v>13</v>
      </c>
      <c r="H4" s="3">
        <f t="shared" si="0"/>
        <v>0.12</v>
      </c>
    </row>
    <row r="5" spans="1:8" x14ac:dyDescent="0.3">
      <c r="A5" s="3">
        <v>4</v>
      </c>
      <c r="B5" s="3" t="s">
        <v>48</v>
      </c>
      <c r="C5" s="3" t="s">
        <v>49</v>
      </c>
      <c r="D5" s="3">
        <v>1</v>
      </c>
      <c r="E5" s="3">
        <v>0.01</v>
      </c>
      <c r="F5" s="3" t="s">
        <v>6</v>
      </c>
      <c r="G5" s="3" t="s">
        <v>8</v>
      </c>
      <c r="H5" s="3">
        <f t="shared" si="0"/>
        <v>0.01</v>
      </c>
    </row>
    <row r="6" spans="1:8" ht="15" x14ac:dyDescent="0.35">
      <c r="A6" s="3">
        <v>5</v>
      </c>
      <c r="B6" s="3" t="s">
        <v>50</v>
      </c>
      <c r="C6" s="3" t="s">
        <v>51</v>
      </c>
      <c r="D6" s="3">
        <v>1</v>
      </c>
      <c r="E6" s="3">
        <v>0.02</v>
      </c>
      <c r="F6" s="4" t="s">
        <v>14</v>
      </c>
      <c r="G6" s="3" t="s">
        <v>15</v>
      </c>
      <c r="H6" s="3">
        <f t="shared" si="0"/>
        <v>0.02</v>
      </c>
    </row>
    <row r="7" spans="1:8" ht="15" x14ac:dyDescent="0.35">
      <c r="A7" s="3">
        <v>6</v>
      </c>
      <c r="B7" s="3" t="s">
        <v>53</v>
      </c>
      <c r="C7" s="3" t="s">
        <v>1</v>
      </c>
      <c r="D7" s="3">
        <v>3</v>
      </c>
      <c r="E7" s="3">
        <v>1.72</v>
      </c>
      <c r="F7" s="4" t="s">
        <v>16</v>
      </c>
      <c r="G7" s="3" t="s">
        <v>17</v>
      </c>
      <c r="H7" s="3">
        <f t="shared" si="0"/>
        <v>5.16</v>
      </c>
    </row>
    <row r="8" spans="1:8" ht="15" x14ac:dyDescent="0.35">
      <c r="A8" s="3">
        <v>7</v>
      </c>
      <c r="B8" s="3" t="s">
        <v>54</v>
      </c>
      <c r="C8" s="3" t="s">
        <v>56</v>
      </c>
      <c r="D8" s="3">
        <v>1</v>
      </c>
      <c r="E8" s="3">
        <v>0.01</v>
      </c>
      <c r="F8" s="4" t="s">
        <v>18</v>
      </c>
      <c r="G8" s="3" t="s">
        <v>19</v>
      </c>
      <c r="H8" s="3">
        <f t="shared" si="0"/>
        <v>0.01</v>
      </c>
    </row>
    <row r="9" spans="1:8" ht="15" x14ac:dyDescent="0.35">
      <c r="A9" s="3">
        <v>8</v>
      </c>
      <c r="B9" s="3" t="s">
        <v>55</v>
      </c>
      <c r="C9" s="3" t="s">
        <v>57</v>
      </c>
      <c r="D9" s="3">
        <v>2</v>
      </c>
      <c r="E9" s="3">
        <v>0.01</v>
      </c>
      <c r="F9" s="4" t="s">
        <v>20</v>
      </c>
      <c r="G9" s="3" t="s">
        <v>21</v>
      </c>
      <c r="H9" s="3">
        <f t="shared" si="0"/>
        <v>0.02</v>
      </c>
    </row>
    <row r="10" spans="1:8" ht="15" x14ac:dyDescent="0.35">
      <c r="A10" s="3">
        <v>9</v>
      </c>
      <c r="B10" s="3" t="s">
        <v>58</v>
      </c>
      <c r="C10" s="3" t="s">
        <v>59</v>
      </c>
      <c r="D10" s="3">
        <v>3</v>
      </c>
      <c r="E10" s="3">
        <v>0.05</v>
      </c>
      <c r="F10" s="4" t="s">
        <v>30</v>
      </c>
      <c r="G10" s="3" t="s">
        <v>31</v>
      </c>
      <c r="H10" s="3">
        <f t="shared" si="0"/>
        <v>0.15000000000000002</v>
      </c>
    </row>
    <row r="11" spans="1:8" ht="15" x14ac:dyDescent="0.35">
      <c r="A11" s="3">
        <v>10</v>
      </c>
      <c r="B11" s="3" t="s">
        <v>60</v>
      </c>
      <c r="C11" s="3" t="s">
        <v>61</v>
      </c>
      <c r="D11" s="3">
        <v>3</v>
      </c>
      <c r="E11" s="3">
        <v>0.01</v>
      </c>
      <c r="F11" s="4" t="s">
        <v>32</v>
      </c>
      <c r="G11" s="3" t="s">
        <v>33</v>
      </c>
      <c r="H11" s="3">
        <f t="shared" si="0"/>
        <v>0.03</v>
      </c>
    </row>
    <row r="12" spans="1:8" ht="15" x14ac:dyDescent="0.35">
      <c r="A12" s="3">
        <v>11</v>
      </c>
      <c r="B12" s="3" t="s">
        <v>62</v>
      </c>
      <c r="C12" s="3" t="s">
        <v>63</v>
      </c>
      <c r="D12" s="3">
        <v>3</v>
      </c>
      <c r="E12" s="3">
        <v>0.01</v>
      </c>
      <c r="F12" s="4" t="s">
        <v>34</v>
      </c>
      <c r="G12" s="3" t="s">
        <v>35</v>
      </c>
      <c r="H12" s="3">
        <f t="shared" si="0"/>
        <v>0.03</v>
      </c>
    </row>
    <row r="13" spans="1:8" ht="15" x14ac:dyDescent="0.35">
      <c r="A13" s="3">
        <v>12</v>
      </c>
      <c r="B13" s="3" t="s">
        <v>64</v>
      </c>
      <c r="C13" s="3" t="s">
        <v>65</v>
      </c>
      <c r="D13" s="3">
        <v>1</v>
      </c>
      <c r="E13" s="3">
        <v>3.13</v>
      </c>
      <c r="F13" s="4" t="s">
        <v>28</v>
      </c>
      <c r="G13" s="3" t="s">
        <v>29</v>
      </c>
      <c r="H13" s="3">
        <f t="shared" si="0"/>
        <v>3.13</v>
      </c>
    </row>
    <row r="14" spans="1:8" ht="15" x14ac:dyDescent="0.35">
      <c r="A14" s="3">
        <v>13</v>
      </c>
      <c r="B14" s="3" t="s">
        <v>66</v>
      </c>
      <c r="C14" s="3" t="s">
        <v>67</v>
      </c>
      <c r="D14" s="3">
        <v>1</v>
      </c>
      <c r="E14" s="3">
        <v>0.01</v>
      </c>
      <c r="F14" s="4" t="s">
        <v>36</v>
      </c>
      <c r="G14" s="3" t="s">
        <v>37</v>
      </c>
      <c r="H14" s="3">
        <f t="shared" si="0"/>
        <v>0.01</v>
      </c>
    </row>
    <row r="15" spans="1:8" ht="15" x14ac:dyDescent="0.35">
      <c r="A15" s="3">
        <v>14</v>
      </c>
      <c r="B15" s="3" t="s">
        <v>68</v>
      </c>
      <c r="C15" s="3" t="s">
        <v>2</v>
      </c>
      <c r="D15" s="3">
        <v>1</v>
      </c>
      <c r="E15" s="3">
        <v>0.15</v>
      </c>
      <c r="F15" s="4" t="s">
        <v>26</v>
      </c>
      <c r="G15" s="3" t="s">
        <v>27</v>
      </c>
      <c r="H15" s="3">
        <f t="shared" si="0"/>
        <v>0.15</v>
      </c>
    </row>
    <row r="16" spans="1:8" ht="15" x14ac:dyDescent="0.35">
      <c r="A16" s="3">
        <v>15</v>
      </c>
      <c r="B16" s="3" t="s">
        <v>69</v>
      </c>
      <c r="C16" s="3" t="s">
        <v>3</v>
      </c>
      <c r="D16" s="3">
        <v>2</v>
      </c>
      <c r="E16" s="3">
        <v>5.08</v>
      </c>
      <c r="F16" s="4" t="s">
        <v>24</v>
      </c>
      <c r="G16" s="3" t="s">
        <v>25</v>
      </c>
      <c r="H16" s="3">
        <f t="shared" si="0"/>
        <v>10.16</v>
      </c>
    </row>
    <row r="17" spans="1:8" ht="15" x14ac:dyDescent="0.35">
      <c r="A17" s="3">
        <v>16</v>
      </c>
      <c r="B17" s="3" t="s">
        <v>70</v>
      </c>
      <c r="C17" s="3" t="s">
        <v>71</v>
      </c>
      <c r="D17" s="3">
        <v>2</v>
      </c>
      <c r="E17" s="3">
        <v>0.01</v>
      </c>
      <c r="F17" s="4" t="s">
        <v>22</v>
      </c>
      <c r="G17" s="3" t="s">
        <v>23</v>
      </c>
      <c r="H17" s="3">
        <f t="shared" si="0"/>
        <v>0.02</v>
      </c>
    </row>
    <row r="18" spans="1:8" ht="15" x14ac:dyDescent="0.35">
      <c r="F18" s="1"/>
    </row>
    <row r="20" spans="1:8" x14ac:dyDescent="0.3">
      <c r="A20" s="2" t="s">
        <v>72</v>
      </c>
      <c r="B20" s="2"/>
      <c r="C20" s="2"/>
      <c r="D20" s="2"/>
      <c r="E20" s="2"/>
      <c r="F20" s="2"/>
      <c r="G20" s="2"/>
      <c r="H20" s="2">
        <f>SUM(H2:H17)</f>
        <v>19.13</v>
      </c>
    </row>
    <row r="21" spans="1:8" ht="15" x14ac:dyDescent="0.35">
      <c r="F21" s="1"/>
    </row>
    <row r="22" spans="1:8" ht="15" x14ac:dyDescent="0.35">
      <c r="F22" s="1"/>
    </row>
    <row r="23" spans="1:8" ht="15" x14ac:dyDescent="0.35">
      <c r="F23" s="1"/>
    </row>
    <row r="24" spans="1:8" ht="15" x14ac:dyDescent="0.35">
      <c r="F24" s="1"/>
    </row>
    <row r="25" spans="1:8" ht="15" x14ac:dyDescent="0.35">
      <c r="F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Samir Abed El Nafee Mohamed</cp:lastModifiedBy>
  <dcterms:created xsi:type="dcterms:W3CDTF">2015-06-05T18:17:20Z</dcterms:created>
  <dcterms:modified xsi:type="dcterms:W3CDTF">2026-01-20T14:09:43Z</dcterms:modified>
</cp:coreProperties>
</file>